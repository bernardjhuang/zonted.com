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Bear" sheetId="3" state="visible" r:id="rId3"/>
    <sheet name="Base" sheetId="4" state="visible" r:id="rId4"/>
    <sheet name="Bull" sheetId="5" state="visible" r:id="rId5"/>
    <sheet name="Sources" sheetId="6" state="visible" r:id="rId6"/>
    <sheet name="Limitations" sheetId="7" state="visible" r:id="rId7"/>
  </sheets>
  <definedNames>
    <definedName name="_xlnm._FilterDatabase" localSheetId="0" hidden="1">'Summary'!$A$1:$B$6</definedName>
    <definedName name="_xlnm._FilterDatabase" localSheetId="1" hidden="1">'Inputs'!$A$1:$C$13</definedName>
    <definedName name="_xlnm._FilterDatabase" localSheetId="2" hidden="1">'Bear'!$A$1:$F$3</definedName>
    <definedName name="_xlnm._FilterDatabase" localSheetId="3" hidden="1">'Base'!$A$1:$F$3</definedName>
    <definedName name="_xlnm._FilterDatabase" localSheetId="4" hidden="1">'Bull'!$A$1:$F$3</definedName>
    <definedName name="_xlnm._FilterDatabase" localSheetId="5" hidden="1">'Sources'!$A$1:$C$4</definedName>
    <definedName name="_xlnm._FilterDatabase" localSheetId="6" hidden="1">'Limitations'!$A$1:$B$6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assets.new.siemens.com/siemens/assets/api/uuid:a659b574-caac-4ea1-a94f-a9d624fe0b7f/2026-q3-earnings-release-en.pdf" TargetMode="External" Id="rId1" /><Relationship Type="http://schemas.openxmlformats.org/officeDocument/2006/relationships/hyperlink" Target="https://www.siemens.com/en-us/company/investor-relations/financial-calendar/" TargetMode="External" Id="rId2" /><Relationship Type="http://schemas.openxmlformats.org/officeDocument/2006/relationships/hyperlink" Target="https://www.siemens.com/en-us/company/investor-relations/share-bonds-rating/american-depository-receipt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1" t="inlineStr">
        <is>
          <t>Siemens AG ADR earnings-power receipt</t>
        </is>
      </c>
      <c r="B1" s="1" t="inlineStr">
        <is>
          <t>Value</t>
        </is>
      </c>
    </row>
    <row r="2">
      <c r="A2" s="2" t="inlineStr">
        <is>
          <t>Valuation date</t>
        </is>
      </c>
      <c r="B2" s="2" t="inlineStr">
        <is>
          <t>2026-08-07</t>
        </is>
      </c>
    </row>
    <row r="3">
      <c r="A3" s="2" t="inlineStr">
        <is>
          <t>Quote (USD/ADR)</t>
        </is>
      </c>
      <c r="B3" s="2" t="n">
        <v>161.95</v>
      </c>
    </row>
    <row r="4">
      <c r="A4" s="2" t="inlineStr">
        <is>
          <t>Method</t>
        </is>
      </c>
      <c r="B4" s="2" t="inlineStr">
        <is>
          <t>ADR-adjusted cycle-normalized earnings power</t>
        </is>
      </c>
    </row>
    <row r="5">
      <c r="A5" s="2" t="inlineStr">
        <is>
          <t>Bear / Base / Bull</t>
        </is>
      </c>
      <c r="B5" s="2" t="inlineStr">
        <is>
          <t>$93.96 / $153.12 / $226.20</t>
        </is>
      </c>
    </row>
    <row r="6">
      <c r="A6" s="2" t="inlineStr">
        <is>
          <t>Market-implied normalized EPS (€)</t>
        </is>
      </c>
      <c r="B6" s="2" t="n">
        <v>12.69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27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 / note</t>
        </is>
      </c>
    </row>
    <row r="2">
      <c r="A2" s="2" t="inlineStr">
        <is>
          <t>q3_revenue_eur_b</t>
        </is>
      </c>
      <c r="B2" s="2" t="n">
        <v>20.794</v>
      </c>
      <c r="C2" s="2" t="inlineStr">
        <is>
          <t>Siemens Q3 FY2026 release</t>
        </is>
      </c>
    </row>
    <row r="3">
      <c r="A3" s="2" t="inlineStr">
        <is>
          <t>q3_orders_eur_b</t>
        </is>
      </c>
      <c r="B3" s="2" t="n">
        <v>27.902</v>
      </c>
      <c r="C3" s="2" t="inlineStr">
        <is>
          <t>Siemens Q3 FY2026 release</t>
        </is>
      </c>
    </row>
    <row r="4">
      <c r="A4" s="2" t="inlineStr">
        <is>
          <t>q3_industrial_business_margin_pct</t>
        </is>
      </c>
      <c r="B4" s="2" t="n">
        <v>17.3</v>
      </c>
      <c r="C4" s="2" t="inlineStr">
        <is>
          <t>Siemens Q3 FY2026 release</t>
        </is>
      </c>
    </row>
    <row r="5">
      <c r="A5" s="2" t="inlineStr">
        <is>
          <t>q3_free_cash_flow_eur_b</t>
        </is>
      </c>
      <c r="B5" s="2" t="n">
        <v>4.148</v>
      </c>
      <c r="C5" s="2" t="inlineStr">
        <is>
          <t>Siemens Q3 FY2026 release</t>
        </is>
      </c>
    </row>
    <row r="6">
      <c r="A6" s="2" t="inlineStr">
        <is>
          <t>q1_q3_revenue_eur_b</t>
        </is>
      </c>
      <c r="B6" s="2" t="n">
        <v>59.688</v>
      </c>
      <c r="C6" s="2" t="inlineStr">
        <is>
          <t>Siemens Q3 FY2026 release</t>
        </is>
      </c>
    </row>
    <row r="7">
      <c r="A7" s="2" t="inlineStr">
        <is>
          <t>q1_q3_free_cash_flow_eur_b</t>
        </is>
      </c>
      <c r="B7" s="2" t="n">
        <v>6.541</v>
      </c>
      <c r="C7" s="2" t="inlineStr">
        <is>
          <t>Siemens Q3 FY2026 release</t>
        </is>
      </c>
    </row>
    <row r="8">
      <c r="A8" s="2" t="inlineStr">
        <is>
          <t>order_backlog_eur_b</t>
        </is>
      </c>
      <c r="B8" s="2" t="n">
        <v>132</v>
      </c>
      <c r="C8" s="2" t="inlineStr">
        <is>
          <t>Siemens Q3 FY2026 release</t>
        </is>
      </c>
    </row>
    <row r="9">
      <c r="A9" s="2" t="inlineStr">
        <is>
          <t>fy2026_eps_pre_ppa_guide_low_eur</t>
        </is>
      </c>
      <c r="B9" s="2" t="n">
        <v>11.2</v>
      </c>
      <c r="C9" s="2" t="inlineStr">
        <is>
          <t>Siemens Q3 FY2026 release</t>
        </is>
      </c>
    </row>
    <row r="10">
      <c r="A10" s="2" t="inlineStr">
        <is>
          <t>fy2026_eps_pre_ppa_guide_high_eur</t>
        </is>
      </c>
      <c r="B10" s="2" t="n">
        <v>11.5</v>
      </c>
      <c r="C10" s="2" t="inlineStr">
        <is>
          <t>Siemens Q3 FY2026 release</t>
        </is>
      </c>
    </row>
    <row r="11">
      <c r="A11" s="2" t="inlineStr">
        <is>
          <t>eurusd</t>
        </is>
      </c>
      <c r="B11" s="2" t="n">
        <v>1.16</v>
      </c>
      <c r="C11" s="2" t="inlineStr">
        <is>
          <t>Model assumption</t>
        </is>
      </c>
    </row>
    <row r="12">
      <c r="A12" s="2" t="inlineStr">
        <is>
          <t>fx_note</t>
        </is>
      </c>
      <c r="B12" s="2" t="inlineStr">
        <is>
          <t>Static scenario translation assumption, not an FX forecast</t>
        </is>
      </c>
      <c r="C12" s="2" t="inlineStr">
        <is>
          <t>Model assumption</t>
        </is>
      </c>
    </row>
    <row r="13">
      <c r="A13" s="2" t="inlineStr">
        <is>
          <t>base_multiple</t>
        </is>
      </c>
      <c r="B13" s="2" t="n">
        <v>22</v>
      </c>
      <c r="C13" s="2" t="inlineStr">
        <is>
          <t>Model assumption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Normalized EPS (€ / ordinary)</t>
        </is>
      </c>
      <c r="B1" s="1" t="inlineStr">
        <is>
          <t>Multiple</t>
        </is>
      </c>
      <c r="C1" s="1" t="inlineStr">
        <is>
          <t>Ordinary value (€)</t>
        </is>
      </c>
      <c r="D1" s="1" t="inlineStr">
        <is>
          <t>ADR ratio</t>
        </is>
      </c>
      <c r="E1" s="1" t="inlineStr">
        <is>
          <t>EUR/USD</t>
        </is>
      </c>
      <c r="F1" s="1" t="inlineStr">
        <is>
          <t>ADR value (USD)</t>
        </is>
      </c>
    </row>
    <row r="2">
      <c r="A2" s="2" t="n">
        <v>9</v>
      </c>
      <c r="B2" s="2" t="n">
        <v>18</v>
      </c>
      <c r="C2" s="2">
        <f>A2*B2</f>
        <v/>
      </c>
      <c r="D2" s="2" t="n">
        <v>2</v>
      </c>
      <c r="E2" s="2" t="n">
        <v>1.16</v>
      </c>
      <c r="F2" s="2">
        <f>C2/D2*E2</f>
        <v/>
      </c>
    </row>
    <row r="3">
      <c r="A3" s="2" t="inlineStr">
        <is>
          <t>Receipt output</t>
        </is>
      </c>
      <c r="B3" s="2" t="inlineStr"/>
      <c r="C3" s="2" t="n">
        <v>162</v>
      </c>
      <c r="D3" s="2" t="inlineStr"/>
      <c r="E3" s="2" t="inlineStr"/>
      <c r="F3" s="2" t="n">
        <v>93.95999999999999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Normalized EPS (€ / ordinary)</t>
        </is>
      </c>
      <c r="B1" s="1" t="inlineStr">
        <is>
          <t>Multiple</t>
        </is>
      </c>
      <c r="C1" s="1" t="inlineStr">
        <is>
          <t>Ordinary value (€)</t>
        </is>
      </c>
      <c r="D1" s="1" t="inlineStr">
        <is>
          <t>ADR ratio</t>
        </is>
      </c>
      <c r="E1" s="1" t="inlineStr">
        <is>
          <t>EUR/USD</t>
        </is>
      </c>
      <c r="F1" s="1" t="inlineStr">
        <is>
          <t>ADR value (USD)</t>
        </is>
      </c>
    </row>
    <row r="2">
      <c r="A2" s="2" t="n">
        <v>12</v>
      </c>
      <c r="B2" s="2" t="n">
        <v>22</v>
      </c>
      <c r="C2" s="2">
        <f>A2*B2</f>
        <v/>
      </c>
      <c r="D2" s="2" t="n">
        <v>2</v>
      </c>
      <c r="E2" s="2" t="n">
        <v>1.16</v>
      </c>
      <c r="F2" s="2">
        <f>C2/D2*E2</f>
        <v/>
      </c>
    </row>
    <row r="3">
      <c r="A3" s="2" t="inlineStr">
        <is>
          <t>Receipt output</t>
        </is>
      </c>
      <c r="B3" s="2" t="inlineStr"/>
      <c r="C3" s="2" t="n">
        <v>264</v>
      </c>
      <c r="D3" s="2" t="inlineStr"/>
      <c r="E3" s="2" t="inlineStr"/>
      <c r="F3" s="2" t="n">
        <v>153.12</v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Normalized EPS (€ / ordinary)</t>
        </is>
      </c>
      <c r="B1" s="1" t="inlineStr">
        <is>
          <t>Multiple</t>
        </is>
      </c>
      <c r="C1" s="1" t="inlineStr">
        <is>
          <t>Ordinary value (€)</t>
        </is>
      </c>
      <c r="D1" s="1" t="inlineStr">
        <is>
          <t>ADR ratio</t>
        </is>
      </c>
      <c r="E1" s="1" t="inlineStr">
        <is>
          <t>EUR/USD</t>
        </is>
      </c>
      <c r="F1" s="1" t="inlineStr">
        <is>
          <t>ADR value (USD)</t>
        </is>
      </c>
    </row>
    <row r="2">
      <c r="A2" s="2" t="n">
        <v>15</v>
      </c>
      <c r="B2" s="2" t="n">
        <v>26</v>
      </c>
      <c r="C2" s="2">
        <f>A2*B2</f>
        <v/>
      </c>
      <c r="D2" s="2" t="n">
        <v>2</v>
      </c>
      <c r="E2" s="2" t="n">
        <v>1.16</v>
      </c>
      <c r="F2" s="2">
        <f>C2/D2*E2</f>
        <v/>
      </c>
    </row>
    <row r="3">
      <c r="A3" s="2" t="inlineStr">
        <is>
          <t>Receipt output</t>
        </is>
      </c>
      <c r="B3" s="2" t="inlineStr"/>
      <c r="C3" s="2" t="n">
        <v>390</v>
      </c>
      <c r="D3" s="2" t="inlineStr"/>
      <c r="E3" s="2" t="inlineStr"/>
      <c r="F3" s="2" t="n">
        <v>226.2</v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2" customWidth="1" min="2" max="2"/>
    <col width="67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Use</t>
        </is>
      </c>
    </row>
    <row r="2">
      <c r="A2" s="2" t="inlineStr">
        <is>
          <t>Siemens Q3 FY2026 earnings release</t>
        </is>
      </c>
      <c r="B2" s="3" t="inlineStr">
        <is>
          <t>https://assets.new.siemens.com/siemens/assets/api/uuid:a659b574-caac-4ea1-a94f-a9d624fe0b7f/2026-q3-earnings-release-en.pdf</t>
        </is>
      </c>
      <c r="C2" s="2" t="inlineStr">
        <is>
          <t>Q3 orders, revenue, margin, cash flow, backlog and FY2026 outlook</t>
        </is>
      </c>
    </row>
    <row r="3">
      <c r="A3" s="2" t="inlineStr">
        <is>
          <t>Siemens financial calendar</t>
        </is>
      </c>
      <c r="B3" s="3" t="inlineStr">
        <is>
          <t>https://www.siemens.com/en-us/company/investor-relations/financial-calendar/</t>
        </is>
      </c>
      <c r="C3" s="2" t="inlineStr">
        <is>
          <t>Official November 12, 2026 Q4/FY2026 results date</t>
        </is>
      </c>
    </row>
    <row r="4">
      <c r="A4" s="2" t="inlineStr">
        <is>
          <t>Siemens ADR terms</t>
        </is>
      </c>
      <c r="B4" s="3" t="inlineStr">
        <is>
          <t>https://www.siemens.com/en-us/company/investor-relations/share-bonds-rating/american-depository-receipt/</t>
        </is>
      </c>
      <c r="C4" s="2" t="inlineStr">
        <is>
          <t>Two SIEGY ADRs represent one Siemens ordinary share</t>
        </is>
      </c>
    </row>
  </sheetData>
  <autoFilter ref="A1:C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42" customWidth="1" min="2" max="2"/>
  </cols>
  <sheetData>
    <row r="1">
      <c r="A1" s="1" t="inlineStr">
        <is>
          <t>Model limitation</t>
        </is>
      </c>
      <c r="B1" s="1" t="inlineStr">
        <is>
          <t>Implication</t>
        </is>
      </c>
    </row>
    <row r="2">
      <c r="A2" s="2" t="inlineStr">
        <is>
          <t>This is normalized earnings power, not a full sum-of-the-parts valuation.</t>
        </is>
      </c>
      <c r="B2" s="2" t="inlineStr">
        <is>
          <t>Review before relying on scenario output</t>
        </is>
      </c>
    </row>
    <row r="3">
      <c r="A3" s="2" t="inlineStr">
        <is>
          <t>EPS pre PPA is a company-defined non-GAAP measure; acquisition accounting and restructuring remain economic costs.</t>
        </is>
      </c>
      <c r="B3" s="2" t="inlineStr">
        <is>
          <t>Review before relying on scenario output</t>
        </is>
      </c>
    </row>
    <row r="4">
      <c r="A4" s="2" t="inlineStr">
        <is>
          <t>The static EUR/USD translation can move ADR value even when the underlying euro thesis is unchanged.</t>
        </is>
      </c>
      <c r="B4" s="2" t="inlineStr">
        <is>
          <t>Review before relying on scenario output</t>
        </is>
      </c>
    </row>
    <row r="5">
      <c r="A5" s="2" t="inlineStr">
        <is>
          <t>The planned Siemens Healthineers spin-off can change both earnings composition and the appropriate multiple.</t>
        </is>
      </c>
      <c r="B5" s="2" t="inlineStr">
        <is>
          <t>Review before relying on scenario output</t>
        </is>
      </c>
    </row>
    <row r="6">
      <c r="A6" s="2" t="inlineStr">
        <is>
          <t>SIEGY trades OTC with materially lower liquidity than the German ordinary shares.</t>
        </is>
      </c>
      <c r="B6" s="2" t="inlineStr">
        <is>
          <t>Review before relying on scenario output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2026-08-09T02:25:47Z</dcterms:created>
  <dcterms:modified xsi:type="dcterms:W3CDTF">2026-08-09T02:25:47Z</dcterms:modified>
</cp:coreProperties>
</file>